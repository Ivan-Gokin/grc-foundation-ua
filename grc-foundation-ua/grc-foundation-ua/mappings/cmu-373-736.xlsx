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имоги" sheetId="1" state="visible" r:id="rId1"/>
    <sheet xmlns:r="http://schemas.openxmlformats.org/officeDocument/2006/relationships" name="iso27001-2022" sheetId="2" state="visible" r:id="rId2"/>
    <sheet xmlns:r="http://schemas.openxmlformats.org/officeDocument/2006/relationships" name="csf-2.0" sheetId="3" state="visible" r:id="rId3"/>
  </sheets>
  <definedNames>
    <definedName name="_xlnm._FilterDatabase" localSheetId="0" hidden="1">'Вимоги'!$A$1:$I$11</definedName>
    <definedName name="_xlnm._FilterDatabase" localSheetId="1" hidden="1">'iso27001-2022'!$A$1:$Q$13</definedName>
    <definedName name="_xlnm._FilterDatabase" localSheetId="2" hidden="1">'csf-2.0'!$A$1:$Q$11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9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grc-foundation-ua</author>
  </authors>
  <commentList>
    <comment ref="A1" authorId="0" shapeId="0">
      <text>
        <t>Ідентифікатор акта з data/sources.csv, наприклад ua-nbu-95-2017.</t>
      </text>
    </comment>
    <comment ref="B1" authorId="0" shapeId="0">
      <text>
        <t>Короткий постійний код положення в межах акта (p40, a8-p2). Не змінюйте його після публікації. Якщо не заповнити, його буде утворено з пункту.</t>
      </text>
    </comment>
    <comment ref="C1" authorId="0" shapeId="0">
      <text>
        <t>Посилання на пункт так, як його цитують: п. 40 розділу IV; ст. 8 ч. 2. Унікальне в межах акта.</t>
      </text>
    </comment>
    <comment ref="D1" authorId="0" shapeId="0">
      <text>
        <t>Що вимагає положення, своїми словами.</t>
      </text>
    </comment>
    <comment ref="E1" authorId="0" shapeId="0">
      <text>
        <t>обов'язок - зіставляється; делегує - лише доручає іншому акту; визначення - сфера чи терміни.</t>
      </text>
    </comment>
    <comment ref="F1" authorId="0" shapeId="0">
      <text>
        <t>Необов'язково: типи суб'єктів з data/sectors.csv через ';', якщо положення вужче за акт.</t>
      </text>
    </comment>
    <comment ref="G1" authorId="0" shapeId="0">
      <text>
        <t>Редакція, з якою працювали, що треба звірити.</t>
      </text>
    </comment>
    <comment ref="H1" authorId="0" shapeId="0">
      <text>
        <t>Необов'язково.</t>
      </text>
    </comment>
    <comment ref="I1" authorId="0" shapeId="0">
      <text>
        <t>Необов'язково.</t>
      </text>
    </comment>
  </commentList>
</comments>
</file>

<file path=xl/comments/comment2.xml><?xml version="1.0" encoding="utf-8"?>
<comments xmlns="http://schemas.openxmlformats.org/spreadsheetml/2006/main">
  <authors>
    <author>grc-foundation-ua</author>
  </authors>
  <commentList>
    <comment ref="A1" authorId="0" shapeId="0">
      <text>
        <t>Ідентифікатор акта, як в аркуші Вимоги.</t>
      </text>
    </comment>
    <comment ref="B1" authorId="0" shapeId="0">
      <text>
        <t>Пункт точно так, як в аркуші Вимоги (скопіюйте).</t>
      </text>
    </comment>
    <comment ref="C1" authorId="0" shapeId="0">
      <text>
        <t>Ідентифікатор заходу стандарту (A.8.5, GV.OC-03). «—» - у стандарті немає відповідника.</t>
      </text>
    </comment>
    <comment ref="D1" authorId="0" shapeId="0">
      <text>
        <t>NIST IR 8477, читається «положення [відношення] захід»: subset of - положення вужче за захід; superset of - ширше; intersects with - перетинаються; equal - збігаються.</t>
      </text>
    </comment>
    <comment ref="E1" authorId="0" shapeId="0">
      <text>
        <t>semantic - зміст; syntactic - формулювання; functional - результат.</t>
      </text>
    </comment>
    <comment ref="F1" authorId="0" shapeId="0">
      <text>
        <t>Необов'язково, 1-10.</t>
      </text>
    </comment>
    <comment ref="G1" authorId="0" shapeId="0">
      <text>
        <t>Необов'язково: якщо порожньо, subset of / equal = повне, інакше часткове.</t>
      </text>
    </comment>
    <comment ref="H1" authorId="0" shapeId="0">
      <text>
        <t>Значення, яке закон встановлює для параметра заходу: «не рідше 1 разу на рік».</t>
      </text>
    </comment>
    <comment ref="I1" authorId="0" shapeId="0">
      <text>
        <t>Внутрішній документ, куди варто внести вимогу.</t>
      </text>
    </comment>
    <comment ref="J1" authorId="0" shapeId="0">
      <text>
        <t>Пояснення зв'язку.</t>
      </text>
    </comment>
    <comment ref="K1" authorId="0" shapeId="0">
      <text>
        <t>ШІ (не вичитано) / чернетка / імпорт / перевірено. «перевірено» ставить друга людина і вписує себе в «Хто перевірив».</t>
      </text>
    </comment>
    <comment ref="L1" authorId="0" shapeId="0">
      <text>
        <t>Ім'я або «AI (...)» для згенерованих рядків.</t>
      </text>
    </comment>
    <comment ref="N1" authorId="0" shapeId="0">
      <text>
        <t>Дата останньої зміни рядка.</t>
      </text>
    </comment>
    <comment ref="O1" authorId="0" shapeId="0">
      <text>
        <t>Необов'язково.</t>
      </text>
    </comment>
    <comment ref="P1" authorId="0" shapeId="0">
      <text>
        <t>Необов'язково.</t>
      </text>
    </comment>
    <comment ref="Q1" authorId="0" shapeId="0">
      <text>
        <t>Необов'язково.</t>
      </text>
    </comment>
  </commentList>
</comments>
</file>

<file path=xl/comments/comment3.xml><?xml version="1.0" encoding="utf-8"?>
<comments xmlns="http://schemas.openxmlformats.org/spreadsheetml/2006/main">
  <authors>
    <author>grc-foundation-ua</author>
  </authors>
  <commentList>
    <comment ref="A1" authorId="0" shapeId="0">
      <text>
        <t>Ідентифікатор акта, як в аркуші Вимоги.</t>
      </text>
    </comment>
    <comment ref="B1" authorId="0" shapeId="0">
      <text>
        <t>Пункт точно так, як в аркуші Вимоги (скопіюйте).</t>
      </text>
    </comment>
    <comment ref="C1" authorId="0" shapeId="0">
      <text>
        <t>Ідентифікатор заходу стандарту (A.8.5, GV.OC-03). «—» - у стандарті немає відповідника.</t>
      </text>
    </comment>
    <comment ref="D1" authorId="0" shapeId="0">
      <text>
        <t>NIST IR 8477, читається «положення [відношення] захід»: subset of - положення вужче за захід; superset of - ширше; intersects with - перетинаються; equal - збігаються.</t>
      </text>
    </comment>
    <comment ref="E1" authorId="0" shapeId="0">
      <text>
        <t>semantic - зміст; syntactic - формулювання; functional - результат.</t>
      </text>
    </comment>
    <comment ref="F1" authorId="0" shapeId="0">
      <text>
        <t>Необов'язково, 1-10.</t>
      </text>
    </comment>
    <comment ref="G1" authorId="0" shapeId="0">
      <text>
        <t>Необов'язково: якщо порожньо, subset of / equal = повне, інакше часткове.</t>
      </text>
    </comment>
    <comment ref="H1" authorId="0" shapeId="0">
      <text>
        <t>Значення, яке закон встановлює для параметра заходу: «не рідше 1 разу на рік».</t>
      </text>
    </comment>
    <comment ref="I1" authorId="0" shapeId="0">
      <text>
        <t>Внутрішній документ, куди варто внести вимогу.</t>
      </text>
    </comment>
    <comment ref="J1" authorId="0" shapeId="0">
      <text>
        <t>Пояснення зв'язку.</t>
      </text>
    </comment>
    <comment ref="K1" authorId="0" shapeId="0">
      <text>
        <t>ШІ (не вичитано) / чернетка / імпорт / перевірено. «перевірено» ставить друга людина і вписує себе в «Хто перевірив».</t>
      </text>
    </comment>
    <comment ref="L1" authorId="0" shapeId="0">
      <text>
        <t>Ім'я або «AI (...)» для згенерованих рядків.</t>
      </text>
    </comment>
    <comment ref="N1" authorId="0" shapeId="0">
      <text>
        <t>Дата останньої зміни рядка.</t>
      </text>
    </comment>
    <comment ref="O1" authorId="0" shapeId="0">
      <text>
        <t>Необов'язково.</t>
      </text>
    </comment>
    <comment ref="P1" authorId="0" shapeId="0">
      <text>
        <t>Необов'язково.</t>
      </text>
    </comment>
    <comment ref="Q1" authorId="0" shapeId="0">
      <text>
        <t>Необов'язково.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32" customWidth="1" min="3" max="3"/>
    <col width="70" customWidth="1" min="4" max="4"/>
    <col width="13" customWidth="1" min="5" max="5"/>
    <col width="22" customWidth="1" min="6" max="6"/>
    <col width="40" customWidth="1" min="7" max="7"/>
    <col width="24" customWidth="1" min="8" max="8"/>
    <col width="50" customWidth="1" min="9" max="9"/>
  </cols>
  <sheetData>
    <row r="1">
      <c r="A1" s="1" t="inlineStr">
        <is>
          <t>Акт</t>
        </is>
      </c>
      <c r="B1" s="1" t="inlineStr">
        <is>
          <t>Код</t>
        </is>
      </c>
      <c r="C1" s="1" t="inlineStr">
        <is>
          <t>Пункт</t>
        </is>
      </c>
      <c r="D1" s="1" t="inlineStr">
        <is>
          <t>Вимога</t>
        </is>
      </c>
      <c r="E1" s="1" t="inlineStr">
        <is>
          <t>Тип</t>
        </is>
      </c>
      <c r="F1" s="1" t="inlineStr">
        <is>
          <t>Стосується лише</t>
        </is>
      </c>
      <c r="G1" s="1" t="inlineStr">
        <is>
          <t>Застереження</t>
        </is>
      </c>
      <c r="H1" s="1" t="inlineStr">
        <is>
          <t>Пункт (EN)</t>
        </is>
      </c>
      <c r="I1" s="1" t="inlineStr">
        <is>
          <t>Вимога (EN)</t>
        </is>
      </c>
    </row>
    <row r="2">
      <c r="A2" s="2" t="inlineStr">
        <is>
          <t>ua-cmu-373-2006</t>
        </is>
      </c>
      <c r="B2" s="2" t="inlineStr">
        <is>
          <t>p4</t>
        </is>
      </c>
      <c r="C2" s="2" t="inlineStr">
        <is>
          <t>п. 4</t>
        </is>
      </c>
      <c r="D2" s="2" t="inlineStr">
        <is>
          <t>Вимоги до захисту інформації в системі</t>
        </is>
      </c>
      <c r="E2" s="2" t="inlineStr">
        <is>
          <t>обов'язок</t>
        </is>
      </c>
      <c r="F2" s="2" t="inlineStr"/>
      <c r="G2" s="2" t="inlineStr">
        <is>
          <t>Номери пунктів - за редакцією до постанови КМУ № 1531/2025 (нова редакція Мінімальних вимог); звірити з чинним текстом. / Paragraph numbers are from the edition before CMU Resolution 1531/2025; verify against the current text.</t>
        </is>
      </c>
      <c r="H2" s="2" t="inlineStr">
        <is>
          <t>para. 4</t>
        </is>
      </c>
      <c r="I2" s="2" t="inlineStr">
        <is>
          <t>Requirements for protecting information in the system</t>
        </is>
      </c>
    </row>
    <row r="3">
      <c r="A3" s="2" t="inlineStr">
        <is>
          <t>ua-cmu-373-2006</t>
        </is>
      </c>
      <c r="B3" s="2" t="inlineStr">
        <is>
          <t>p7</t>
        </is>
      </c>
      <c r="C3" s="2" t="inlineStr">
        <is>
          <t>п. 7</t>
        </is>
      </c>
      <c r="D3" s="2" t="inlineStr">
        <is>
          <t>Ідентифікація, автентифікація та авторизація користувачів</t>
        </is>
      </c>
      <c r="E3" s="2" t="inlineStr">
        <is>
          <t>обов'язок</t>
        </is>
      </c>
      <c r="F3" s="2" t="inlineStr"/>
      <c r="G3" s="2" t="inlineStr">
        <is>
          <t>Номери пунктів - за редакцією до постанови КМУ № 1531/2025 (нова редакція Мінімальних вимог); звірити з чинним текстом. / Paragraph numbers are from the edition before CMU Resolution 1531/2025; verify against the current text.</t>
        </is>
      </c>
      <c r="H3" s="2" t="inlineStr">
        <is>
          <t>para. 7</t>
        </is>
      </c>
      <c r="I3" s="2" t="inlineStr">
        <is>
          <t>User identification, authentication and authorisation</t>
        </is>
      </c>
    </row>
    <row r="4">
      <c r="A4" s="2" t="inlineStr">
        <is>
          <t>ua-cmu-373-2006</t>
        </is>
      </c>
      <c r="B4" s="2" t="inlineStr">
        <is>
          <t>p11</t>
        </is>
      </c>
      <c r="C4" s="2" t="inlineStr">
        <is>
          <t>п. 11</t>
        </is>
      </c>
      <c r="D4" s="2" t="inlineStr">
        <is>
          <t>Реєстрація (логування) дій користувачів</t>
        </is>
      </c>
      <c r="E4" s="2" t="inlineStr">
        <is>
          <t>обов'язок</t>
        </is>
      </c>
      <c r="F4" s="2" t="inlineStr"/>
      <c r="G4" s="2" t="inlineStr">
        <is>
          <t>Номери пунктів - за редакцією до постанови КМУ № 1531/2025 (нова редакція Мінімальних вимог); звірити з чинним текстом. / Paragraph numbers are from the edition before CMU Resolution 1531/2025; verify against the current text.</t>
        </is>
      </c>
      <c r="H4" s="2" t="inlineStr">
        <is>
          <t>para. 11</t>
        </is>
      </c>
      <c r="I4" s="2" t="inlineStr">
        <is>
          <t>Logging of user actions</t>
        </is>
      </c>
    </row>
    <row r="5">
      <c r="A5" s="2" t="inlineStr">
        <is>
          <t>ua-cmu-373-2006</t>
        </is>
      </c>
      <c r="B5" s="2" t="inlineStr">
        <is>
          <t>p16</t>
        </is>
      </c>
      <c r="C5" s="2" t="inlineStr">
        <is>
          <t>п. 16</t>
        </is>
      </c>
      <c r="D5" s="2" t="inlineStr">
        <is>
          <t>Створення комплексної системи захисту інформації (КСЗІ)</t>
        </is>
      </c>
      <c r="E5" s="2" t="inlineStr">
        <is>
          <t>обов'язок</t>
        </is>
      </c>
      <c r="F5" s="2" t="inlineStr"/>
      <c r="G5" s="2" t="inlineStr">
        <is>
          <t>Номери пунктів - за редакцією до постанови КМУ № 1531/2025 (нова редакція Мінімальних вимог); звірити з чинним текстом. / Paragraph numbers are from the edition before CMU Resolution 1531/2025; verify against the current text.</t>
        </is>
      </c>
      <c r="H5" s="2" t="inlineStr">
        <is>
          <t>para. 16</t>
        </is>
      </c>
      <c r="I5" s="2" t="inlineStr">
        <is>
          <t>Implementing a comprehensive information protection system (KSZI)</t>
        </is>
      </c>
    </row>
    <row r="6">
      <c r="A6" s="2" t="inlineStr">
        <is>
          <t>ua-cmu-373-2006</t>
        </is>
      </c>
      <c r="B6" s="2" t="inlineStr">
        <is>
          <t>p17</t>
        </is>
      </c>
      <c r="C6" s="2" t="inlineStr">
        <is>
          <t>п. 17</t>
        </is>
      </c>
      <c r="D6" s="2" t="inlineStr">
        <is>
          <t>Відповідальність за забезпечення захисту інформації</t>
        </is>
      </c>
      <c r="E6" s="2" t="inlineStr">
        <is>
          <t>обов'язок</t>
        </is>
      </c>
      <c r="F6" s="2" t="inlineStr"/>
      <c r="G6" s="2" t="inlineStr">
        <is>
          <t>Номери пунктів - за редакцією до постанови КМУ № 1531/2025 (нова редакція Мінімальних вимог); звірити з чинним текстом. / Paragraph numbers are from the edition before CMU Resolution 1531/2025; verify against the current text.</t>
        </is>
      </c>
      <c r="H6" s="2" t="inlineStr">
        <is>
          <t>para. 17</t>
        </is>
      </c>
      <c r="I6" s="2" t="inlineStr">
        <is>
          <t>Responsibility for information protection</t>
        </is>
      </c>
    </row>
    <row r="7">
      <c r="A7" s="2" t="inlineStr">
        <is>
          <t>ua-cmu-736-2016</t>
        </is>
      </c>
      <c r="B7" s="2" t="inlineStr">
        <is>
          <t>p34-41</t>
        </is>
      </c>
      <c r="C7" s="2" t="inlineStr">
        <is>
          <t>пп. 34–41</t>
        </is>
      </c>
      <c r="D7" s="2" t="inlineStr">
        <is>
          <t>Облік і використання зовнішніх (знімних) носіїв</t>
        </is>
      </c>
      <c r="E7" s="2" t="inlineStr">
        <is>
          <t>обов'язок</t>
        </is>
      </c>
      <c r="F7" s="2" t="inlineStr"/>
      <c r="G7" s="2" t="inlineStr">
        <is>
          <t>paragraph from legacy comment</t>
        </is>
      </c>
      <c r="H7" s="2" t="inlineStr">
        <is>
          <t>paras. 34–41</t>
        </is>
      </c>
      <c r="I7" s="2" t="inlineStr">
        <is>
          <t>Registration and use of external (removable) media</t>
        </is>
      </c>
    </row>
    <row r="8">
      <c r="A8" s="2" t="inlineStr">
        <is>
          <t>ua-cmu-736-2016</t>
        </is>
      </c>
      <c r="B8" s="2" t="inlineStr">
        <is>
          <t>p42-53</t>
        </is>
      </c>
      <c r="C8" s="2" t="inlineStr">
        <is>
          <t>пп. 42–53</t>
        </is>
      </c>
      <c r="D8" s="2" t="inlineStr">
        <is>
          <t>Обмеження друку документів зі службовою інформацією</t>
        </is>
      </c>
      <c r="E8" s="2" t="inlineStr">
        <is>
          <t>обов'язок</t>
        </is>
      </c>
      <c r="F8" s="2" t="inlineStr"/>
      <c r="G8" s="2" t="inlineStr">
        <is>
          <t>paragraph from legacy comment</t>
        </is>
      </c>
      <c r="H8" s="2" t="inlineStr">
        <is>
          <t>paras. 42–53</t>
        </is>
      </c>
      <c r="I8" s="2" t="inlineStr">
        <is>
          <t>Restrictions on printing documents containing official information</t>
        </is>
      </c>
    </row>
    <row r="9">
      <c r="A9" s="2" t="inlineStr">
        <is>
          <t>ua-cmu-736-2016</t>
        </is>
      </c>
      <c r="B9" s="2" t="inlineStr">
        <is>
          <t>p54-62</t>
        </is>
      </c>
      <c r="C9" s="2" t="inlineStr">
        <is>
          <t>пп. 54–62</t>
        </is>
      </c>
      <c r="D9" s="2" t="inlineStr">
        <is>
          <t>Обмеження надсилання документів зі службовою інформацією</t>
        </is>
      </c>
      <c r="E9" s="2" t="inlineStr">
        <is>
          <t>обов'язок</t>
        </is>
      </c>
      <c r="F9" s="2" t="inlineStr"/>
      <c r="G9" s="2" t="inlineStr">
        <is>
          <t>paragraph from legacy comment</t>
        </is>
      </c>
      <c r="H9" s="2" t="inlineStr">
        <is>
          <t>paras. 54–62</t>
        </is>
      </c>
      <c r="I9" s="2" t="inlineStr">
        <is>
          <t>Restrictions on sending documents containing official information</t>
        </is>
      </c>
    </row>
    <row r="10">
      <c r="A10" s="2" t="inlineStr">
        <is>
          <t>ua-cmu-736-2016</t>
        </is>
      </c>
      <c r="B10" s="2" t="inlineStr">
        <is>
          <t>p92</t>
        </is>
      </c>
      <c r="C10" s="2" t="inlineStr">
        <is>
          <t>п. 92</t>
        </is>
      </c>
      <c r="D10" s="2" t="inlineStr">
        <is>
          <t>Знищення документів</t>
        </is>
      </c>
      <c r="E10" s="2" t="inlineStr">
        <is>
          <t>обов'язок</t>
        </is>
      </c>
      <c r="F10" s="2" t="inlineStr"/>
      <c r="G10" s="2" t="inlineStr">
        <is>
          <t>paragraph from legacy comment</t>
        </is>
      </c>
      <c r="H10" s="2" t="inlineStr">
        <is>
          <t>para. 92</t>
        </is>
      </c>
      <c r="I10" s="2" t="inlineStr">
        <is>
          <t>Destruction of documents</t>
        </is>
      </c>
    </row>
    <row r="11">
      <c r="A11" s="2" t="inlineStr">
        <is>
          <t>ua-cmu-736-2016</t>
        </is>
      </c>
      <c r="B11" s="2" t="inlineStr">
        <is>
          <t>p100</t>
        </is>
      </c>
      <c r="C11" s="2" t="inlineStr">
        <is>
          <t>п. 100</t>
        </is>
      </c>
      <c r="D11" s="2" t="inlineStr">
        <is>
          <t>Фізичний доступ до приміщень і документів</t>
        </is>
      </c>
      <c r="E11" s="2" t="inlineStr">
        <is>
          <t>обов'язок</t>
        </is>
      </c>
      <c r="F11" s="2" t="inlineStr"/>
      <c r="G11" s="2" t="inlineStr">
        <is>
          <t>paragraph from legacy comment</t>
        </is>
      </c>
      <c r="H11" s="2" t="inlineStr">
        <is>
          <t>para. 100</t>
        </is>
      </c>
      <c r="I11" s="2" t="inlineStr">
        <is>
          <t>Physical access to premises and documents</t>
        </is>
      </c>
    </row>
  </sheetData>
  <autoFilter ref="A1:I11"/>
  <dataValidations count="1">
    <dataValidation sqref="E2:E511" showDropDown="0" showInputMessage="0" showErrorMessage="0" allowBlank="1" type="list">
      <formula1>"обов'язок,делегує,визначення"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11" customWidth="1" min="3" max="3"/>
    <col width="15" customWidth="1" min="4" max="4"/>
    <col width="13" customWidth="1" min="5" max="5"/>
    <col width="7" customWidth="1" min="6" max="6"/>
    <col width="11" customWidth="1" min="7" max="7"/>
    <col width="24" customWidth="1" min="8" max="8"/>
    <col width="34" customWidth="1" min="9" max="9"/>
    <col width="50" customWidth="1" min="10" max="10"/>
    <col width="17" customWidth="1" min="11" max="11"/>
    <col width="22" customWidth="1" min="12" max="12"/>
    <col width="18" customWidth="1" min="13" max="13"/>
    <col width="11" customWidth="1" min="14" max="14"/>
    <col width="20" customWidth="1" min="15" max="15"/>
    <col width="20" customWidth="1" min="16" max="16"/>
    <col width="30" customWidth="1" min="17" max="17"/>
  </cols>
  <sheetData>
    <row r="1">
      <c r="A1" s="1" t="inlineStr">
        <is>
          <t>Акт</t>
        </is>
      </c>
      <c r="B1" s="1" t="inlineStr">
        <is>
          <t>Пункт</t>
        </is>
      </c>
      <c r="C1" s="1" t="inlineStr">
        <is>
          <t>Захід</t>
        </is>
      </c>
      <c r="D1" s="1" t="inlineStr">
        <is>
          <t>Відношення</t>
        </is>
      </c>
      <c r="E1" s="1" t="inlineStr">
        <is>
          <t>Обґрунтування</t>
        </is>
      </c>
      <c r="F1" s="1" t="inlineStr">
        <is>
          <t>Сила</t>
        </is>
      </c>
      <c r="G1" s="1" t="inlineStr">
        <is>
          <t>Покриття</t>
        </is>
      </c>
      <c r="H1" s="1" t="inlineStr">
        <is>
          <t>Параметр за законом</t>
        </is>
      </c>
      <c r="I1" s="1" t="inlineStr">
        <is>
          <t>Куди внести</t>
        </is>
      </c>
      <c r="J1" s="1" t="inlineStr">
        <is>
          <t>Примітка</t>
        </is>
      </c>
      <c r="K1" s="1" t="inlineStr">
        <is>
          <t>Статус</t>
        </is>
      </c>
      <c r="L1" s="1" t="inlineStr">
        <is>
          <t>Хто зіставив</t>
        </is>
      </c>
      <c r="M1" s="1" t="inlineStr">
        <is>
          <t>Хто перевірив</t>
        </is>
      </c>
      <c r="N1" s="1" t="inlineStr">
        <is>
          <t>Дата</t>
        </is>
      </c>
      <c r="O1" s="1" t="inlineStr">
        <is>
          <t>Параметр (EN)</t>
        </is>
      </c>
      <c r="P1" s="1" t="inlineStr">
        <is>
          <t>Куди внести (EN)</t>
        </is>
      </c>
      <c r="Q1" s="1" t="inlineStr">
        <is>
          <t>Примітка (EN)</t>
        </is>
      </c>
    </row>
    <row r="2">
      <c r="A2" s="2" t="inlineStr">
        <is>
          <t>ua-cmu-373-2006</t>
        </is>
      </c>
      <c r="B2" s="2" t="inlineStr">
        <is>
          <t>п. 7</t>
        </is>
      </c>
      <c r="C2" s="2" t="inlineStr">
        <is>
          <t>A.5.15</t>
        </is>
      </c>
      <c r="D2" s="2" t="inlineStr">
        <is>
          <t>intersects with</t>
        </is>
      </c>
      <c r="E2" s="2" t="inlineStr">
        <is>
          <t>semantic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ШІ (не вичитано)</t>
        </is>
      </c>
      <c r="L2" s="2" t="inlineStr">
        <is>
          <t>AI (Claude)</t>
        </is>
      </c>
      <c r="M2" s="2" t="inlineStr"/>
      <c r="N2" s="2" t="inlineStr">
        <is>
          <t>2026-10-16</t>
        </is>
      </c>
      <c r="O2" s="2" t="inlineStr"/>
      <c r="P2" s="2" t="inlineStr"/>
      <c r="Q2" s="2" t="inlineStr"/>
    </row>
    <row r="3">
      <c r="A3" s="2" t="inlineStr">
        <is>
          <t>ua-cmu-373-2006</t>
        </is>
      </c>
      <c r="B3" s="2" t="inlineStr">
        <is>
          <t>п. 7</t>
        </is>
      </c>
      <c r="C3" s="2" t="inlineStr">
        <is>
          <t>A.8.5</t>
        </is>
      </c>
      <c r="D3" s="2" t="inlineStr">
        <is>
          <t>intersects with</t>
        </is>
      </c>
      <c r="E3" s="2" t="inlineStr">
        <is>
          <t>semantic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ШІ (не вичитано)</t>
        </is>
      </c>
      <c r="L3" s="2" t="inlineStr">
        <is>
          <t>AI (Claude)</t>
        </is>
      </c>
      <c r="M3" s="2" t="inlineStr"/>
      <c r="N3" s="2" t="inlineStr">
        <is>
          <t>2026-10-16</t>
        </is>
      </c>
      <c r="O3" s="2" t="inlineStr"/>
      <c r="P3" s="2" t="inlineStr"/>
      <c r="Q3" s="2" t="inlineStr"/>
    </row>
    <row r="4">
      <c r="A4" s="2" t="inlineStr">
        <is>
          <t>ua-cmu-373-2006</t>
        </is>
      </c>
      <c r="B4" s="2" t="inlineStr">
        <is>
          <t>п. 11</t>
        </is>
      </c>
      <c r="C4" s="2" t="inlineStr">
        <is>
          <t>A.8.15</t>
        </is>
      </c>
      <c r="D4" s="2" t="inlineStr">
        <is>
          <t>subset of</t>
        </is>
      </c>
      <c r="E4" s="2" t="inlineStr">
        <is>
          <t>semantic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ШІ (не вичитано)</t>
        </is>
      </c>
      <c r="L4" s="2" t="inlineStr">
        <is>
          <t>AI (Claude)</t>
        </is>
      </c>
      <c r="M4" s="2" t="inlineStr"/>
      <c r="N4" s="2" t="inlineStr">
        <is>
          <t>2026-10-16</t>
        </is>
      </c>
      <c r="O4" s="2" t="inlineStr"/>
      <c r="P4" s="2" t="inlineStr"/>
      <c r="Q4" s="2" t="inlineStr"/>
    </row>
    <row r="5">
      <c r="A5" s="2" t="inlineStr">
        <is>
          <t>ua-cmu-373-2006</t>
        </is>
      </c>
      <c r="B5" s="2" t="inlineStr">
        <is>
          <t>п. 16</t>
        </is>
      </c>
      <c r="C5" s="2" t="inlineStr">
        <is>
          <t>A.5.31</t>
        </is>
      </c>
      <c r="D5" s="2" t="inlineStr">
        <is>
          <t>intersects with</t>
        </is>
      </c>
      <c r="E5" s="2" t="inlineStr">
        <is>
          <t>semantic</t>
        </is>
      </c>
      <c r="F5" s="2" t="inlineStr"/>
      <c r="G5" s="2" t="inlineStr"/>
      <c r="H5" s="2" t="inlineStr"/>
      <c r="I5" s="2" t="inlineStr"/>
      <c r="J5" s="2" t="inlineStr">
        <is>
          <t>КСЗІ з державною експертизою не має прямого відповідника в ISO/CSF і залишається окремим обов’язком</t>
        </is>
      </c>
      <c r="K5" s="2" t="inlineStr">
        <is>
          <t>ШІ (не вичитано)</t>
        </is>
      </c>
      <c r="L5" s="2" t="inlineStr">
        <is>
          <t>AI (Claude)</t>
        </is>
      </c>
      <c r="M5" s="2" t="inlineStr"/>
      <c r="N5" s="2" t="inlineStr">
        <is>
          <t>2026-10-16</t>
        </is>
      </c>
      <c r="O5" s="2" t="inlineStr"/>
      <c r="P5" s="2" t="inlineStr"/>
      <c r="Q5" s="2" t="inlineStr">
        <is>
          <t>A KSZI with state expertise has no direct ISO/CSF equivalent and remains a separate obligation</t>
        </is>
      </c>
    </row>
    <row r="6">
      <c r="A6" s="2" t="inlineStr">
        <is>
          <t>ua-cmu-373-2006</t>
        </is>
      </c>
      <c r="B6" s="2" t="inlineStr">
        <is>
          <t>п. 17</t>
        </is>
      </c>
      <c r="C6" s="2" t="inlineStr">
        <is>
          <t>5.3</t>
        </is>
      </c>
      <c r="D6" s="2" t="inlineStr">
        <is>
          <t>intersects with</t>
        </is>
      </c>
      <c r="E6" s="2" t="inlineStr">
        <is>
          <t>semantic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ШІ (не вичитано)</t>
        </is>
      </c>
      <c r="L6" s="2" t="inlineStr">
        <is>
          <t>AI (Claude)</t>
        </is>
      </c>
      <c r="M6" s="2" t="inlineStr"/>
      <c r="N6" s="2" t="inlineStr">
        <is>
          <t>2026-10-16</t>
        </is>
      </c>
      <c r="O6" s="2" t="inlineStr"/>
      <c r="P6" s="2" t="inlineStr"/>
      <c r="Q6" s="2" t="inlineStr"/>
    </row>
    <row r="7">
      <c r="A7" s="2" t="inlineStr">
        <is>
          <t>ua-cmu-373-2006</t>
        </is>
      </c>
      <c r="B7" s="2" t="inlineStr">
        <is>
          <t>п. 17</t>
        </is>
      </c>
      <c r="C7" s="2" t="inlineStr">
        <is>
          <t>A.5.2</t>
        </is>
      </c>
      <c r="D7" s="2" t="inlineStr">
        <is>
          <t>intersects with</t>
        </is>
      </c>
      <c r="E7" s="2" t="inlineStr">
        <is>
          <t>semantic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ШІ (не вичитано)</t>
        </is>
      </c>
      <c r="L7" s="2" t="inlineStr">
        <is>
          <t>AI (Claude)</t>
        </is>
      </c>
      <c r="M7" s="2" t="inlineStr"/>
      <c r="N7" s="2" t="inlineStr">
        <is>
          <t>2026-10-16</t>
        </is>
      </c>
      <c r="O7" s="2" t="inlineStr"/>
      <c r="P7" s="2" t="inlineStr"/>
      <c r="Q7" s="2" t="inlineStr"/>
    </row>
    <row r="8">
      <c r="A8" s="2" t="inlineStr">
        <is>
          <t>ua-cmu-736-2016</t>
        </is>
      </c>
      <c r="B8" s="2" t="inlineStr">
        <is>
          <t>пп. 34–41</t>
        </is>
      </c>
      <c r="C8" s="2" t="inlineStr">
        <is>
          <t>A.7.10</t>
        </is>
      </c>
      <c r="D8" s="2" t="inlineStr">
        <is>
          <t>intersects with</t>
        </is>
      </c>
      <c r="E8" s="2" t="inlineStr">
        <is>
          <t>semantic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ШІ (не вичитано)</t>
        </is>
      </c>
      <c r="L8" s="2" t="inlineStr">
        <is>
          <t>AI (Claude)</t>
        </is>
      </c>
      <c r="M8" s="2" t="inlineStr"/>
      <c r="N8" s="2" t="inlineStr">
        <is>
          <t>2026-10-16</t>
        </is>
      </c>
      <c r="O8" s="2" t="inlineStr"/>
      <c r="P8" s="2" t="inlineStr"/>
      <c r="Q8" s="2" t="inlineStr"/>
    </row>
    <row r="9">
      <c r="A9" s="2" t="inlineStr">
        <is>
          <t>ua-cmu-736-2016</t>
        </is>
      </c>
      <c r="B9" s="2" t="inlineStr">
        <is>
          <t>пп. 42–53</t>
        </is>
      </c>
      <c r="C9" s="2" t="inlineStr">
        <is>
          <t>A.8.12</t>
        </is>
      </c>
      <c r="D9" s="2" t="inlineStr">
        <is>
          <t>intersects with</t>
        </is>
      </c>
      <c r="E9" s="2" t="inlineStr">
        <is>
          <t>semantic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ШІ (не вичитано)</t>
        </is>
      </c>
      <c r="L9" s="2" t="inlineStr">
        <is>
          <t>AI (Claude)</t>
        </is>
      </c>
      <c r="M9" s="2" t="inlineStr"/>
      <c r="N9" s="2" t="inlineStr">
        <is>
          <t>2026-10-16</t>
        </is>
      </c>
      <c r="O9" s="2" t="inlineStr"/>
      <c r="P9" s="2" t="inlineStr"/>
      <c r="Q9" s="2" t="inlineStr"/>
    </row>
    <row r="10">
      <c r="A10" s="2" t="inlineStr">
        <is>
          <t>ua-cmu-736-2016</t>
        </is>
      </c>
      <c r="B10" s="2" t="inlineStr">
        <is>
          <t>пп. 54–62</t>
        </is>
      </c>
      <c r="C10" s="2" t="inlineStr">
        <is>
          <t>A.5.14</t>
        </is>
      </c>
      <c r="D10" s="2" t="inlineStr">
        <is>
          <t>intersects with</t>
        </is>
      </c>
      <c r="E10" s="2" t="inlineStr">
        <is>
          <t>semantic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ШІ (не вичитано)</t>
        </is>
      </c>
      <c r="L10" s="2" t="inlineStr">
        <is>
          <t>AI (Claude)</t>
        </is>
      </c>
      <c r="M10" s="2" t="inlineStr"/>
      <c r="N10" s="2" t="inlineStr">
        <is>
          <t>2026-10-16</t>
        </is>
      </c>
      <c r="O10" s="2" t="inlineStr"/>
      <c r="P10" s="2" t="inlineStr"/>
      <c r="Q10" s="2" t="inlineStr"/>
    </row>
    <row r="11">
      <c r="A11" s="2" t="inlineStr">
        <is>
          <t>ua-cmu-736-2016</t>
        </is>
      </c>
      <c r="B11" s="2" t="inlineStr">
        <is>
          <t>п. 92</t>
        </is>
      </c>
      <c r="C11" s="2" t="inlineStr">
        <is>
          <t>A.7.10</t>
        </is>
      </c>
      <c r="D11" s="2" t="inlineStr">
        <is>
          <t>intersects with</t>
        </is>
      </c>
      <c r="E11" s="2" t="inlineStr">
        <is>
          <t>semantic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ШІ (не вичитано)</t>
        </is>
      </c>
      <c r="L11" s="2" t="inlineStr">
        <is>
          <t>AI (Claude)</t>
        </is>
      </c>
      <c r="M11" s="2" t="inlineStr"/>
      <c r="N11" s="2" t="inlineStr">
        <is>
          <t>2026-10-16</t>
        </is>
      </c>
      <c r="O11" s="2" t="inlineStr"/>
      <c r="P11" s="2" t="inlineStr"/>
      <c r="Q11" s="2" t="inlineStr"/>
    </row>
    <row r="12">
      <c r="A12" s="2" t="inlineStr">
        <is>
          <t>ua-cmu-736-2016</t>
        </is>
      </c>
      <c r="B12" s="2" t="inlineStr">
        <is>
          <t>п. 92</t>
        </is>
      </c>
      <c r="C12" s="2" t="inlineStr">
        <is>
          <t>A.8.10</t>
        </is>
      </c>
      <c r="D12" s="2" t="inlineStr">
        <is>
          <t>intersects with</t>
        </is>
      </c>
      <c r="E12" s="2" t="inlineStr">
        <is>
          <t>semantic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ШІ (не вичитано)</t>
        </is>
      </c>
      <c r="L12" s="2" t="inlineStr">
        <is>
          <t>AI (Claude)</t>
        </is>
      </c>
      <c r="M12" s="2" t="inlineStr"/>
      <c r="N12" s="2" t="inlineStr">
        <is>
          <t>2026-10-16</t>
        </is>
      </c>
      <c r="O12" s="2" t="inlineStr"/>
      <c r="P12" s="2" t="inlineStr"/>
      <c r="Q12" s="2" t="inlineStr"/>
    </row>
    <row r="13">
      <c r="A13" s="2" t="inlineStr">
        <is>
          <t>ua-cmu-736-2016</t>
        </is>
      </c>
      <c r="B13" s="2" t="inlineStr">
        <is>
          <t>п. 100</t>
        </is>
      </c>
      <c r="C13" s="2" t="inlineStr">
        <is>
          <t>A.7.2</t>
        </is>
      </c>
      <c r="D13" s="2" t="inlineStr">
        <is>
          <t>intersects with</t>
        </is>
      </c>
      <c r="E13" s="2" t="inlineStr">
        <is>
          <t>semantic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ШІ (не вичитано)</t>
        </is>
      </c>
      <c r="L13" s="2" t="inlineStr">
        <is>
          <t>AI (Claude)</t>
        </is>
      </c>
      <c r="M13" s="2" t="inlineStr"/>
      <c r="N13" s="2" t="inlineStr">
        <is>
          <t>2026-10-16</t>
        </is>
      </c>
      <c r="O13" s="2" t="inlineStr"/>
      <c r="P13" s="2" t="inlineStr"/>
      <c r="Q13" s="2" t="inlineStr"/>
    </row>
  </sheetData>
  <autoFilter ref="A1:Q13"/>
  <dataValidations count="4">
    <dataValidation sqref="D2:D513" showDropDown="0" showInputMessage="0" showErrorMessage="0" allowBlank="1" type="list">
      <formula1>"equal,subset of,superset of,intersects with,no relationship"</formula1>
    </dataValidation>
    <dataValidation sqref="E2:E513" showDropDown="0" showInputMessage="0" showErrorMessage="0" allowBlank="1" type="list">
      <formula1>"semantic,syntactic,functional"</formula1>
    </dataValidation>
    <dataValidation sqref="G2:G513" showDropDown="0" showInputMessage="0" showErrorMessage="0" allowBlank="1" type="list">
      <formula1>"повне,часткове,немає"</formula1>
    </dataValidation>
    <dataValidation sqref="K2:K513" showDropDown="0" showInputMessage="0" showErrorMessage="0" allowBlank="1" type="list">
      <formula1>"ШІ (не вичитано),чернетка,імпорт,перевірено"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11" customWidth="1" min="3" max="3"/>
    <col width="15" customWidth="1" min="4" max="4"/>
    <col width="13" customWidth="1" min="5" max="5"/>
    <col width="7" customWidth="1" min="6" max="6"/>
    <col width="11" customWidth="1" min="7" max="7"/>
    <col width="24" customWidth="1" min="8" max="8"/>
    <col width="34" customWidth="1" min="9" max="9"/>
    <col width="50" customWidth="1" min="10" max="10"/>
    <col width="17" customWidth="1" min="11" max="11"/>
    <col width="22" customWidth="1" min="12" max="12"/>
    <col width="18" customWidth="1" min="13" max="13"/>
    <col width="11" customWidth="1" min="14" max="14"/>
    <col width="20" customWidth="1" min="15" max="15"/>
    <col width="20" customWidth="1" min="16" max="16"/>
    <col width="30" customWidth="1" min="17" max="17"/>
  </cols>
  <sheetData>
    <row r="1">
      <c r="A1" s="1" t="inlineStr">
        <is>
          <t>Акт</t>
        </is>
      </c>
      <c r="B1" s="1" t="inlineStr">
        <is>
          <t>Пункт</t>
        </is>
      </c>
      <c r="C1" s="1" t="inlineStr">
        <is>
          <t>Захід</t>
        </is>
      </c>
      <c r="D1" s="1" t="inlineStr">
        <is>
          <t>Відношення</t>
        </is>
      </c>
      <c r="E1" s="1" t="inlineStr">
        <is>
          <t>Обґрунтування</t>
        </is>
      </c>
      <c r="F1" s="1" t="inlineStr">
        <is>
          <t>Сила</t>
        </is>
      </c>
      <c r="G1" s="1" t="inlineStr">
        <is>
          <t>Покриття</t>
        </is>
      </c>
      <c r="H1" s="1" t="inlineStr">
        <is>
          <t>Параметр за законом</t>
        </is>
      </c>
      <c r="I1" s="1" t="inlineStr">
        <is>
          <t>Куди внести</t>
        </is>
      </c>
      <c r="J1" s="1" t="inlineStr">
        <is>
          <t>Примітка</t>
        </is>
      </c>
      <c r="K1" s="1" t="inlineStr">
        <is>
          <t>Статус</t>
        </is>
      </c>
      <c r="L1" s="1" t="inlineStr">
        <is>
          <t>Хто зіставив</t>
        </is>
      </c>
      <c r="M1" s="1" t="inlineStr">
        <is>
          <t>Хто перевірив</t>
        </is>
      </c>
      <c r="N1" s="1" t="inlineStr">
        <is>
          <t>Дата</t>
        </is>
      </c>
      <c r="O1" s="1" t="inlineStr">
        <is>
          <t>Параметр (EN)</t>
        </is>
      </c>
      <c r="P1" s="1" t="inlineStr">
        <is>
          <t>Куди внести (EN)</t>
        </is>
      </c>
      <c r="Q1" s="1" t="inlineStr">
        <is>
          <t>Примітка (EN)</t>
        </is>
      </c>
    </row>
    <row r="2">
      <c r="A2" s="2" t="inlineStr">
        <is>
          <t>ua-cmu-373-2006</t>
        </is>
      </c>
      <c r="B2" s="2" t="inlineStr">
        <is>
          <t>п. 7</t>
        </is>
      </c>
      <c r="C2" s="2" t="inlineStr">
        <is>
          <t>PR.AA-03</t>
        </is>
      </c>
      <c r="D2" s="2" t="inlineStr">
        <is>
          <t>intersects with</t>
        </is>
      </c>
      <c r="E2" s="2" t="inlineStr">
        <is>
          <t>semantic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ШІ (не вичитано)</t>
        </is>
      </c>
      <c r="L2" s="2" t="inlineStr">
        <is>
          <t>AI (Claude)</t>
        </is>
      </c>
      <c r="M2" s="2" t="inlineStr"/>
      <c r="N2" s="2" t="inlineStr">
        <is>
          <t>2026-10-16</t>
        </is>
      </c>
      <c r="O2" s="2" t="inlineStr"/>
      <c r="P2" s="2" t="inlineStr"/>
      <c r="Q2" s="2" t="inlineStr"/>
    </row>
    <row r="3">
      <c r="A3" s="2" t="inlineStr">
        <is>
          <t>ua-cmu-373-2006</t>
        </is>
      </c>
      <c r="B3" s="2" t="inlineStr">
        <is>
          <t>п. 7</t>
        </is>
      </c>
      <c r="C3" s="2" t="inlineStr">
        <is>
          <t>PR.AA-05</t>
        </is>
      </c>
      <c r="D3" s="2" t="inlineStr">
        <is>
          <t>intersects with</t>
        </is>
      </c>
      <c r="E3" s="2" t="inlineStr">
        <is>
          <t>semantic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ШІ (не вичитано)</t>
        </is>
      </c>
      <c r="L3" s="2" t="inlineStr">
        <is>
          <t>AI (Claude)</t>
        </is>
      </c>
      <c r="M3" s="2" t="inlineStr"/>
      <c r="N3" s="2" t="inlineStr">
        <is>
          <t>2026-10-16</t>
        </is>
      </c>
      <c r="O3" s="2" t="inlineStr"/>
      <c r="P3" s="2" t="inlineStr"/>
      <c r="Q3" s="2" t="inlineStr"/>
    </row>
    <row r="4">
      <c r="A4" s="2" t="inlineStr">
        <is>
          <t>ua-cmu-373-2006</t>
        </is>
      </c>
      <c r="B4" s="2" t="inlineStr">
        <is>
          <t>п. 11</t>
        </is>
      </c>
      <c r="C4" s="2" t="inlineStr">
        <is>
          <t>PR.PS-04</t>
        </is>
      </c>
      <c r="D4" s="2" t="inlineStr">
        <is>
          <t>subset of</t>
        </is>
      </c>
      <c r="E4" s="2" t="inlineStr">
        <is>
          <t>semantic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ШІ (не вичитано)</t>
        </is>
      </c>
      <c r="L4" s="2" t="inlineStr">
        <is>
          <t>AI (Claude)</t>
        </is>
      </c>
      <c r="M4" s="2" t="inlineStr"/>
      <c r="N4" s="2" t="inlineStr">
        <is>
          <t>2026-10-16</t>
        </is>
      </c>
      <c r="O4" s="2" t="inlineStr"/>
      <c r="P4" s="2" t="inlineStr"/>
      <c r="Q4" s="2" t="inlineStr"/>
    </row>
    <row r="5">
      <c r="A5" s="2" t="inlineStr">
        <is>
          <t>ua-cmu-373-2006</t>
        </is>
      </c>
      <c r="B5" s="2" t="inlineStr">
        <is>
          <t>п. 16</t>
        </is>
      </c>
      <c r="C5" s="2" t="inlineStr">
        <is>
          <t>GV.OC-03</t>
        </is>
      </c>
      <c r="D5" s="2" t="inlineStr">
        <is>
          <t>intersects with</t>
        </is>
      </c>
      <c r="E5" s="2" t="inlineStr">
        <is>
          <t>semantic</t>
        </is>
      </c>
      <c r="F5" s="2" t="inlineStr"/>
      <c r="G5" s="2" t="inlineStr"/>
      <c r="H5" s="2" t="inlineStr"/>
      <c r="I5" s="2" t="inlineStr"/>
      <c r="J5" s="2" t="inlineStr">
        <is>
          <t>КСЗІ з державною експертизою не має прямого відповідника в ISO/CSF і залишається окремим обов’язком</t>
        </is>
      </c>
      <c r="K5" s="2" t="inlineStr">
        <is>
          <t>ШІ (не вичитано)</t>
        </is>
      </c>
      <c r="L5" s="2" t="inlineStr">
        <is>
          <t>AI (Claude)</t>
        </is>
      </c>
      <c r="M5" s="2" t="inlineStr"/>
      <c r="N5" s="2" t="inlineStr">
        <is>
          <t>2026-10-16</t>
        </is>
      </c>
      <c r="O5" s="2" t="inlineStr"/>
      <c r="P5" s="2" t="inlineStr"/>
      <c r="Q5" s="2" t="inlineStr">
        <is>
          <t>A KSZI with state expertise has no direct ISO/CSF equivalent and remains a separate obligation</t>
        </is>
      </c>
    </row>
    <row r="6">
      <c r="A6" s="2" t="inlineStr">
        <is>
          <t>ua-cmu-373-2006</t>
        </is>
      </c>
      <c r="B6" s="2" t="inlineStr">
        <is>
          <t>п. 17</t>
        </is>
      </c>
      <c r="C6" s="2" t="inlineStr">
        <is>
          <t>GV.RR-02</t>
        </is>
      </c>
      <c r="D6" s="2" t="inlineStr">
        <is>
          <t>intersects with</t>
        </is>
      </c>
      <c r="E6" s="2" t="inlineStr">
        <is>
          <t>semantic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ШІ (не вичитано)</t>
        </is>
      </c>
      <c r="L6" s="2" t="inlineStr">
        <is>
          <t>AI (Claude)</t>
        </is>
      </c>
      <c r="M6" s="2" t="inlineStr"/>
      <c r="N6" s="2" t="inlineStr">
        <is>
          <t>2026-10-16</t>
        </is>
      </c>
      <c r="O6" s="2" t="inlineStr"/>
      <c r="P6" s="2" t="inlineStr"/>
      <c r="Q6" s="2" t="inlineStr"/>
    </row>
    <row r="7">
      <c r="A7" s="2" t="inlineStr">
        <is>
          <t>ua-cmu-736-2016</t>
        </is>
      </c>
      <c r="B7" s="2" t="inlineStr">
        <is>
          <t>пп. 34–41</t>
        </is>
      </c>
      <c r="C7" s="2" t="inlineStr">
        <is>
          <t>PR.DS-01</t>
        </is>
      </c>
      <c r="D7" s="2" t="inlineStr">
        <is>
          <t>intersects with</t>
        </is>
      </c>
      <c r="E7" s="2" t="inlineStr">
        <is>
          <t>semantic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ШІ (не вичитано)</t>
        </is>
      </c>
      <c r="L7" s="2" t="inlineStr">
        <is>
          <t>AI (Claude)</t>
        </is>
      </c>
      <c r="M7" s="2" t="inlineStr"/>
      <c r="N7" s="2" t="inlineStr">
        <is>
          <t>2026-10-16</t>
        </is>
      </c>
      <c r="O7" s="2" t="inlineStr"/>
      <c r="P7" s="2" t="inlineStr"/>
      <c r="Q7" s="2" t="inlineStr"/>
    </row>
    <row r="8">
      <c r="A8" s="2" t="inlineStr">
        <is>
          <t>ua-cmu-736-2016</t>
        </is>
      </c>
      <c r="B8" s="2" t="inlineStr">
        <is>
          <t>пп. 42–53</t>
        </is>
      </c>
      <c r="C8" s="2" t="inlineStr">
        <is>
          <t>PR.DS-01</t>
        </is>
      </c>
      <c r="D8" s="2" t="inlineStr">
        <is>
          <t>intersects with</t>
        </is>
      </c>
      <c r="E8" s="2" t="inlineStr">
        <is>
          <t>semantic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ШІ (не вичитано)</t>
        </is>
      </c>
      <c r="L8" s="2" t="inlineStr">
        <is>
          <t>AI (Claude)</t>
        </is>
      </c>
      <c r="M8" s="2" t="inlineStr"/>
      <c r="N8" s="2" t="inlineStr">
        <is>
          <t>2026-10-16</t>
        </is>
      </c>
      <c r="O8" s="2" t="inlineStr"/>
      <c r="P8" s="2" t="inlineStr"/>
      <c r="Q8" s="2" t="inlineStr"/>
    </row>
    <row r="9">
      <c r="A9" s="2" t="inlineStr">
        <is>
          <t>ua-cmu-736-2016</t>
        </is>
      </c>
      <c r="B9" s="2" t="inlineStr">
        <is>
          <t>пп. 54–62</t>
        </is>
      </c>
      <c r="C9" s="2" t="inlineStr">
        <is>
          <t>PR.DS-02</t>
        </is>
      </c>
      <c r="D9" s="2" t="inlineStr">
        <is>
          <t>intersects with</t>
        </is>
      </c>
      <c r="E9" s="2" t="inlineStr">
        <is>
          <t>semantic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ШІ (не вичитано)</t>
        </is>
      </c>
      <c r="L9" s="2" t="inlineStr">
        <is>
          <t>AI (Claude)</t>
        </is>
      </c>
      <c r="M9" s="2" t="inlineStr"/>
      <c r="N9" s="2" t="inlineStr">
        <is>
          <t>2026-10-16</t>
        </is>
      </c>
      <c r="O9" s="2" t="inlineStr"/>
      <c r="P9" s="2" t="inlineStr"/>
      <c r="Q9" s="2" t="inlineStr"/>
    </row>
    <row r="10">
      <c r="A10" s="2" t="inlineStr">
        <is>
          <t>ua-cmu-736-2016</t>
        </is>
      </c>
      <c r="B10" s="2" t="inlineStr">
        <is>
          <t>п. 92</t>
        </is>
      </c>
      <c r="C10" s="2" t="inlineStr">
        <is>
          <t>ID.AM-08</t>
        </is>
      </c>
      <c r="D10" s="2" t="inlineStr">
        <is>
          <t>intersects with</t>
        </is>
      </c>
      <c r="E10" s="2" t="inlineStr">
        <is>
          <t>semantic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ШІ (не вичитано)</t>
        </is>
      </c>
      <c r="L10" s="2" t="inlineStr">
        <is>
          <t>AI (Claude)</t>
        </is>
      </c>
      <c r="M10" s="2" t="inlineStr"/>
      <c r="N10" s="2" t="inlineStr">
        <is>
          <t>2026-10-16</t>
        </is>
      </c>
      <c r="O10" s="2" t="inlineStr"/>
      <c r="P10" s="2" t="inlineStr"/>
      <c r="Q10" s="2" t="inlineStr"/>
    </row>
    <row r="11">
      <c r="A11" s="2" t="inlineStr">
        <is>
          <t>ua-cmu-736-2016</t>
        </is>
      </c>
      <c r="B11" s="2" t="inlineStr">
        <is>
          <t>п. 100</t>
        </is>
      </c>
      <c r="C11" s="2" t="inlineStr">
        <is>
          <t>PR.AA-06</t>
        </is>
      </c>
      <c r="D11" s="2" t="inlineStr">
        <is>
          <t>intersects with</t>
        </is>
      </c>
      <c r="E11" s="2" t="inlineStr">
        <is>
          <t>semantic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ШІ (не вичитано)</t>
        </is>
      </c>
      <c r="L11" s="2" t="inlineStr">
        <is>
          <t>AI (Claude)</t>
        </is>
      </c>
      <c r="M11" s="2" t="inlineStr"/>
      <c r="N11" s="2" t="inlineStr">
        <is>
          <t>2026-10-16</t>
        </is>
      </c>
      <c r="O11" s="2" t="inlineStr"/>
      <c r="P11" s="2" t="inlineStr"/>
      <c r="Q11" s="2" t="inlineStr"/>
    </row>
  </sheetData>
  <autoFilter ref="A1:Q11"/>
  <dataValidations count="4">
    <dataValidation sqref="D2:D511" showDropDown="0" showInputMessage="0" showErrorMessage="0" allowBlank="1" type="list">
      <formula1>"equal,subset of,superset of,intersects with,no relationship"</formula1>
    </dataValidation>
    <dataValidation sqref="E2:E511" showDropDown="0" showInputMessage="0" showErrorMessage="0" allowBlank="1" type="list">
      <formula1>"semantic,syntactic,functional"</formula1>
    </dataValidation>
    <dataValidation sqref="G2:G511" showDropDown="0" showInputMessage="0" showErrorMessage="0" allowBlank="1" type="list">
      <formula1>"повне,часткове,немає"</formula1>
    </dataValidation>
    <dataValidation sqref="K2:K511" showDropDown="0" showInputMessage="0" showErrorMessage="0" allowBlank="1" type="list">
      <formula1>"ШІ (не вичитано),чернетка,імпорт,перевірено"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2026-10-16T07:26:56Z</dcterms:created>
  <dcterms:modified xmlns:dcterms="http://purl.org/dc/terms/" xmlns:xsi="http://www.w3.org/2001/XMLSchema-instance" xsi:type="dcterms:W3CDTF">2026-10-16T07:26:56Z</dcterms:modified>
</cp:coreProperties>
</file>